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erikrajohnson/Desktop/Generator smluv/"/>
    </mc:Choice>
  </mc:AlternateContent>
  <xr:revisionPtr revIDLastSave="0" documentId="13_ncr:1_{B4DCEC86-7715-DC49-9FBC-1E7A3770812B}" xr6:coauthVersionLast="47" xr6:coauthVersionMax="47" xr10:uidLastSave="{00000000-0000-0000-0000-000000000000}"/>
  <bookViews>
    <workbookView xWindow="940" yWindow="600" windowWidth="27300" windowHeight="17400" xr2:uid="{34EF6569-164F-AE49-9F45-87B9100CBB67}"/>
  </bookViews>
  <sheets>
    <sheet name="Vzor" sheetId="1" r:id="rId1"/>
    <sheet name="Data" sheetId="2" r:id="rId2"/>
  </sheets>
  <definedNames>
    <definedName name="_xlnm.Print_Area" localSheetId="0">Vzor!$A$1:$G$146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1" l="1"/>
  <c r="G24" i="1"/>
  <c r="G31" i="1"/>
  <c r="A34" i="1"/>
  <c r="A105" i="1"/>
  <c r="B104" i="1" l="1"/>
  <c r="A26" i="1" l="1"/>
  <c r="A16" i="1"/>
  <c r="A14" i="1"/>
  <c r="A103" i="1" s="1"/>
  <c r="D98" i="1" l="1"/>
  <c r="A11" i="1" l="1"/>
  <c r="A9" i="1"/>
  <c r="C11" i="1"/>
  <c r="C7" i="1"/>
  <c r="A7" i="1"/>
  <c r="A102" i="1" s="1"/>
  <c r="B107" i="1"/>
  <c r="D47" i="1"/>
  <c r="E106" i="1"/>
  <c r="F12" i="1"/>
  <c r="E12" i="1"/>
  <c r="B38" i="1"/>
  <c r="D102" i="1"/>
  <c r="G1" i="1"/>
  <c r="E100" i="1" s="1"/>
  <c r="F33" i="1" l="1"/>
  <c r="G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G9" authorId="0" shapeId="0" xr:uid="{EF831BD6-D6CE-A644-A8C3-D90D29E9D416}">
      <text>
        <r>
          <rPr>
            <b/>
            <sz val="10"/>
            <color rgb="FF000000"/>
            <rFont val="Tahoma"/>
            <family val="2"/>
            <charset val="238"/>
          </rPr>
          <t>Microsoft Office User:</t>
        </r>
        <r>
          <rPr>
            <sz val="10"/>
            <color rgb="FF000000"/>
            <rFont val="Tahoma"/>
            <family val="2"/>
            <charset val="238"/>
          </rPr>
          <t xml:space="preserve">
</t>
        </r>
        <r>
          <rPr>
            <sz val="10"/>
            <color rgb="FF000000"/>
            <rFont val="Tahoma"/>
            <family val="2"/>
            <charset val="238"/>
          </rPr>
          <t>Typ obchodu: GA-Global Assistance, RX-najem RX Auto, CC-CarClub, CW- Carwiz</t>
        </r>
      </text>
    </comment>
    <comment ref="E16" authorId="0" shapeId="0" xr:uid="{57E07258-FAC1-EF4F-A100-8D698A1F774A}">
      <text>
        <r>
          <rPr>
            <b/>
            <sz val="10"/>
            <color rgb="FF000000"/>
            <rFont val="Tahoma"/>
            <family val="2"/>
            <charset val="238"/>
          </rPr>
          <t>Microsoft Office User:</t>
        </r>
        <r>
          <rPr>
            <sz val="10"/>
            <color rgb="FF000000"/>
            <rFont val="Tahoma"/>
            <family val="2"/>
            <charset val="238"/>
          </rPr>
          <t xml:space="preserve">
</t>
        </r>
        <r>
          <rPr>
            <sz val="10"/>
            <color rgb="FF000000"/>
            <rFont val="Tahoma"/>
            <family val="2"/>
            <charset val="238"/>
          </rPr>
          <t>místo převzetí a vrácení</t>
        </r>
      </text>
    </comment>
    <comment ref="A18" authorId="0" shapeId="0" xr:uid="{5436904F-5CD5-E54B-A8C7-EFA50788EE8E}">
      <text>
        <r>
          <rPr>
            <b/>
            <sz val="10"/>
            <color rgb="FF000000"/>
            <rFont val="Tahoma"/>
            <family val="2"/>
            <charset val="238"/>
          </rPr>
          <t>Microsoft Office User:</t>
        </r>
        <r>
          <rPr>
            <sz val="10"/>
            <color rgb="FF000000"/>
            <rFont val="Tahoma"/>
            <family val="2"/>
            <charset val="238"/>
          </rPr>
          <t xml:space="preserve">
</t>
        </r>
        <r>
          <rPr>
            <sz val="10"/>
            <color rgb="FF000000"/>
            <rFont val="Tahoma"/>
            <family val="2"/>
            <charset val="238"/>
          </rPr>
          <t>Doplnit doklady</t>
        </r>
        <r>
          <rPr>
            <sz val="10"/>
            <color rgb="FF000000"/>
            <rFont val="Calibri"/>
            <family val="2"/>
          </rPr>
          <t xml:space="preserve">tel: </t>
        </r>
      </text>
    </comment>
    <comment ref="E20" authorId="0" shapeId="0" xr:uid="{EF1714E9-F019-C148-852E-0BAC6D0E7AB1}">
      <text>
        <r>
          <rPr>
            <b/>
            <sz val="10"/>
            <color rgb="FF000000"/>
            <rFont val="Tahoma"/>
            <family val="2"/>
            <charset val="238"/>
          </rPr>
          <t xml:space="preserve">Microsoft Office User:
</t>
        </r>
        <r>
          <rPr>
            <b/>
            <sz val="10"/>
            <color rgb="FF000000"/>
            <rFont val="Tahoma"/>
            <family val="2"/>
            <charset val="238"/>
          </rPr>
          <t xml:space="preserve">
</t>
        </r>
        <r>
          <rPr>
            <sz val="10"/>
            <color rgb="FF000000"/>
            <rFont val="Tahoma"/>
            <family val="2"/>
            <charset val="238"/>
          </rPr>
          <t>KAUCE</t>
        </r>
      </text>
    </comment>
    <comment ref="E36" authorId="0" shapeId="0" xr:uid="{CB4D353D-529F-4244-A0B9-4C1933E45431}">
      <text>
        <r>
          <rPr>
            <b/>
            <sz val="10"/>
            <color rgb="FF000000"/>
            <rFont val="Tahoma"/>
            <family val="2"/>
            <charset val="238"/>
          </rPr>
          <t>Microsoft Office User:</t>
        </r>
        <r>
          <rPr>
            <sz val="10"/>
            <color rgb="FF000000"/>
            <rFont val="Tahoma"/>
            <family val="2"/>
            <charset val="238"/>
          </rPr>
          <t xml:space="preserve">
</t>
        </r>
        <r>
          <rPr>
            <sz val="10"/>
            <color rgb="FF000000"/>
            <rFont val="Tahoma"/>
            <family val="2"/>
            <charset val="238"/>
          </rPr>
          <t>Způsob platby</t>
        </r>
      </text>
    </comment>
    <comment ref="A38" authorId="0" shapeId="0" xr:uid="{78CFF64E-0879-954F-8DD5-96BB7A8FB3F6}">
      <text>
        <r>
          <rPr>
            <b/>
            <sz val="10"/>
            <color rgb="FF000000"/>
            <rFont val="Tahoma"/>
            <family val="2"/>
            <charset val="238"/>
          </rPr>
          <t>Microsoft Office User:</t>
        </r>
        <r>
          <rPr>
            <sz val="10"/>
            <color rgb="FF000000"/>
            <rFont val="Tahoma"/>
            <family val="2"/>
            <charset val="238"/>
          </rPr>
          <t xml:space="preserve">
</t>
        </r>
        <r>
          <rPr>
            <sz val="10"/>
            <color rgb="FF000000"/>
            <rFont val="Tahoma"/>
            <family val="2"/>
            <charset val="238"/>
          </rPr>
          <t>stav tachometru u převzetí</t>
        </r>
      </text>
    </comment>
    <comment ref="E38" authorId="0" shapeId="0" xr:uid="{08FC2C90-AE50-3C4E-B88D-FAF1B800A859}">
      <text>
        <r>
          <rPr>
            <b/>
            <sz val="10"/>
            <color rgb="FF000000"/>
            <rFont val="Tahoma"/>
            <family val="2"/>
            <charset val="238"/>
          </rPr>
          <t>Microsoft Office User:</t>
        </r>
        <r>
          <rPr>
            <sz val="10"/>
            <color rgb="FF000000"/>
            <rFont val="Tahoma"/>
            <family val="2"/>
            <charset val="238"/>
          </rPr>
          <t xml:space="preserve">
</t>
        </r>
        <r>
          <rPr>
            <sz val="10"/>
            <color rgb="FF000000"/>
            <rFont val="Tahoma"/>
            <family val="2"/>
            <charset val="238"/>
          </rPr>
          <t>Vepsat sjednané podmínky</t>
        </r>
      </text>
    </comment>
  </commentList>
</comments>
</file>

<file path=xl/sharedStrings.xml><?xml version="1.0" encoding="utf-8"?>
<sst xmlns="http://schemas.openxmlformats.org/spreadsheetml/2006/main" count="117" uniqueCount="96">
  <si>
    <t xml:space="preserve">RX Auto, s.r.o. </t>
  </si>
  <si>
    <t>IČO: 06044310 DIČ: CZ06044310</t>
  </si>
  <si>
    <t>info@rxauto.cz, www.rxauto.cz</t>
  </si>
  <si>
    <t>Nájemní smlouva č:</t>
  </si>
  <si>
    <t>01 Nájemce (společnost)</t>
  </si>
  <si>
    <t>společnost</t>
  </si>
  <si>
    <t>IČ</t>
  </si>
  <si>
    <t>DIČ</t>
  </si>
  <si>
    <t>sídlo</t>
  </si>
  <si>
    <t>kontakt</t>
  </si>
  <si>
    <t>02 Nájemce (řidič)</t>
  </si>
  <si>
    <t>jméno a příjmení</t>
  </si>
  <si>
    <t>datum narození/RČ</t>
  </si>
  <si>
    <t>číslo OP/pasu</t>
  </si>
  <si>
    <t>datum vydání</t>
  </si>
  <si>
    <t>místo narození</t>
  </si>
  <si>
    <t xml:space="preserve">platnost </t>
  </si>
  <si>
    <t>č. řidičského p.</t>
  </si>
  <si>
    <t>trvalé bydliště</t>
  </si>
  <si>
    <t>korespondeční adresa</t>
  </si>
  <si>
    <t>telefon</t>
  </si>
  <si>
    <t>email</t>
  </si>
  <si>
    <t>03 Další řidič</t>
  </si>
  <si>
    <t>Jméno a příjmení</t>
  </si>
  <si>
    <t xml:space="preserve">od </t>
  </si>
  <si>
    <t>do</t>
  </si>
  <si>
    <t>č.ŘP</t>
  </si>
  <si>
    <t>04 Vozidlo</t>
  </si>
  <si>
    <t>SPZ</t>
  </si>
  <si>
    <t>Značka a model</t>
  </si>
  <si>
    <t>Sjednaný nájezd kilometrů</t>
  </si>
  <si>
    <t>datum</t>
  </si>
  <si>
    <t>stav km</t>
  </si>
  <si>
    <t>stav km OUT</t>
  </si>
  <si>
    <t>palivo</t>
  </si>
  <si>
    <t>země</t>
  </si>
  <si>
    <t>07 Informace o rezervaci</t>
  </si>
  <si>
    <t>Agent</t>
  </si>
  <si>
    <t>číslo rez.</t>
  </si>
  <si>
    <t>číslo voucheru/potvrzení</t>
  </si>
  <si>
    <t>skupina vozu</t>
  </si>
  <si>
    <t>od</t>
  </si>
  <si>
    <t>08 Informace o pronájmu</t>
  </si>
  <si>
    <t>prodloužení do</t>
  </si>
  <si>
    <t>Místo vyzvednutí</t>
  </si>
  <si>
    <t>Místo vrácení</t>
  </si>
  <si>
    <t>tel: +420 725 293 519</t>
  </si>
  <si>
    <t>nájemné</t>
  </si>
  <si>
    <t>10 Souhrn plateb bez DPH</t>
  </si>
  <si>
    <t>11 Platba celkem s 21% sazbou DPH</t>
  </si>
  <si>
    <t>12 Způsob platby</t>
  </si>
  <si>
    <t>13 Sjednané podmínky pronájmu</t>
  </si>
  <si>
    <t xml:space="preserve">Nájemce potvrzuje, že obdržel kopii této Smlouvy, že si Smlouvu a Všeobecné obchodní podmínky přečetl, a že s nimi souhlasí. Nájemce potvrzuje stav vozidla, uvedený ve Smlouvě a předávacím protokolu. V případě platby kreditní kartou Nájemce potvrzuje svým podpisem souhlas s inkasem celé částky, včetně všech škod, způsobených na vozidle během doby trvání Pronájmu a dále správních poplatků, pokut a dodatečných poplatků. Nájemce přebírá odpovědnost za všechny dopravní přestupky, způsobené s vozidlem po dobu trvání Pronájmu. </t>
  </si>
  <si>
    <t>Nájemce</t>
  </si>
  <si>
    <t>Kontakt</t>
  </si>
  <si>
    <t>Za autopůjčovnu</t>
  </si>
  <si>
    <t>Místo předání</t>
  </si>
  <si>
    <t>Stav km</t>
  </si>
  <si>
    <t>Stav paliva</t>
  </si>
  <si>
    <t>Poznámky</t>
  </si>
  <si>
    <t>….........................</t>
  </si>
  <si>
    <t>PRONAJÍMATEL</t>
  </si>
  <si>
    <t>NÁJEMCE</t>
  </si>
  <si>
    <t>Předávací protokol ke smlouvě č:</t>
  </si>
  <si>
    <t>Vozidlo:</t>
  </si>
  <si>
    <t>zacatek</t>
  </si>
  <si>
    <t>konec</t>
  </si>
  <si>
    <t>FIRMA</t>
  </si>
  <si>
    <t>Sídlo</t>
  </si>
  <si>
    <t>délka (dní)</t>
  </si>
  <si>
    <t>Celkem</t>
  </si>
  <si>
    <t>Datum</t>
  </si>
  <si>
    <t>DATUM:</t>
  </si>
  <si>
    <t>-</t>
  </si>
  <si>
    <t>smlouva číslo/zakazka</t>
  </si>
  <si>
    <t>auto (typ, spz, vin)</t>
  </si>
  <si>
    <t>řidič (jméno, příjmení</t>
  </si>
  <si>
    <t>RX</t>
  </si>
  <si>
    <t>/8</t>
  </si>
  <si>
    <t>09 Jistina</t>
  </si>
  <si>
    <t xml:space="preserve">V ceně nájmu je zahrnuto: daň silniční, rozhlasový poplatek, zákonné pojištění, havarijní pojištění se spoluúčastí 10% min. 10000 Kč, pojištění čelního skla se spoluúčastí 1000,-Kč, sezónní pneumatiky, silniční asistence, </t>
  </si>
  <si>
    <t>tel: +420 725 293 527 (OV)</t>
  </si>
  <si>
    <t>tel: +420 725 293 516 (PRG)</t>
  </si>
  <si>
    <t>06 Náhradní vozidlo/výměna</t>
  </si>
  <si>
    <t>05 Cena za kilometr nad sjednaný rámec</t>
  </si>
  <si>
    <t xml:space="preserve"> + 21% DPH</t>
  </si>
  <si>
    <t>cena za km</t>
  </si>
  <si>
    <t>interval (měsíčně/den/týden</t>
  </si>
  <si>
    <t>K fakturaci</t>
  </si>
  <si>
    <t>sjednaný nájezd</t>
  </si>
  <si>
    <t>počet dní/měsíců</t>
  </si>
  <si>
    <t xml:space="preserve">Aviatická 1092/8, 161 00 Praha </t>
  </si>
  <si>
    <t>měsíčně</t>
  </si>
  <si>
    <t>Praha LVH</t>
  </si>
  <si>
    <t xml:space="preserve">Všeobecné obchodní podmínky (VOP) jsou nedílnou součástí nájemní smlouvy uzavřené mezi RX Auto, s.r.o. se sídlem Aviatická 8, 161 00 Praha 6, IČO: 06044310 DIČ: CZ06044310, (dále jen pronajímatel) a nájemcem o pronájmu vozidla. </t>
  </si>
  <si>
    <t>9,-Kč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</si>
</sst>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Kč&quot;_-;\-* #,##0.00\ &quot;Kč&quot;_-;_-* &quot;-&quot;??\ &quot;Kč&quot;_-;_-@_-"/>
    <numFmt numFmtId="164" formatCode="[$-405]d\.\ mmmm\ yyyy;@"/>
    <numFmt numFmtId="165" formatCode="dd/mm/yy;@"/>
  </numFmts>
  <fonts count="27">
    <font>
      <sz val="12"/>
      <color theme="1"/>
      <name val="Calibri"/>
      <family val="2"/>
      <charset val="238"/>
      <scheme val="minor"/>
    </font>
    <font>
      <b/>
      <sz val="12"/>
      <color theme="1"/>
      <name val="Calibri"/>
      <family val="2"/>
      <scheme val="minor"/>
    </font>
    <font>
      <sz val="12"/>
      <color theme="1"/>
      <name val="Calibri"/>
      <family val="2"/>
      <scheme val="minor"/>
    </font>
    <font>
      <i/>
      <sz val="12"/>
      <color theme="1"/>
      <name val="Calibri"/>
      <family val="2"/>
      <scheme val="minor"/>
    </font>
    <font>
      <sz val="9"/>
      <color theme="1"/>
      <name val="Helvetica"/>
      <family val="2"/>
    </font>
    <font>
      <sz val="7"/>
      <color theme="1"/>
      <name val="ArialMT"/>
    </font>
    <font>
      <b/>
      <sz val="9"/>
      <color theme="1"/>
      <name val="Arial"/>
      <family val="2"/>
    </font>
    <font>
      <sz val="16"/>
      <color theme="1"/>
      <name val="Calibri"/>
      <family val="2"/>
      <charset val="238"/>
      <scheme val="minor"/>
    </font>
    <font>
      <b/>
      <sz val="18"/>
      <color theme="1"/>
      <name val="Calibri"/>
      <family val="2"/>
      <scheme val="minor"/>
    </font>
    <font>
      <u/>
      <sz val="12"/>
      <color theme="10"/>
      <name val="Calibri"/>
      <family val="2"/>
      <charset val="238"/>
      <scheme val="minor"/>
    </font>
    <font>
      <sz val="12"/>
      <color rgb="FF000000"/>
      <name val="Calibri"/>
      <family val="2"/>
      <charset val="238"/>
      <scheme val="minor"/>
    </font>
    <font>
      <sz val="9"/>
      <color theme="1"/>
      <name val="Calibri"/>
      <family val="2"/>
      <charset val="238"/>
      <scheme val="minor"/>
    </font>
    <font>
      <b/>
      <sz val="9"/>
      <color rgb="FFFF0000"/>
      <name val="Calibri"/>
      <family val="2"/>
      <charset val="238"/>
      <scheme val="minor"/>
    </font>
    <font>
      <b/>
      <sz val="9"/>
      <color theme="1"/>
      <name val="Calibri"/>
      <family val="2"/>
      <charset val="238"/>
      <scheme val="minor"/>
    </font>
    <font>
      <b/>
      <sz val="11"/>
      <color theme="1"/>
      <name val="Calibri"/>
      <family val="2"/>
      <scheme val="minor"/>
    </font>
    <font>
      <b/>
      <u/>
      <sz val="12"/>
      <color theme="1"/>
      <name val="Calibri"/>
      <family val="2"/>
      <scheme val="minor"/>
    </font>
    <font>
      <b/>
      <sz val="16"/>
      <color theme="1"/>
      <name val="Calibri"/>
      <family val="2"/>
      <scheme val="minor"/>
    </font>
    <font>
      <b/>
      <i/>
      <sz val="18"/>
      <color theme="1"/>
      <name val="Calibri"/>
      <family val="2"/>
      <scheme val="minor"/>
    </font>
    <font>
      <b/>
      <sz val="12"/>
      <color rgb="FFFF0000"/>
      <name val="Calibri"/>
      <family val="2"/>
      <scheme val="minor"/>
    </font>
    <font>
      <sz val="10"/>
      <color rgb="FF000000"/>
      <name val="Tahoma"/>
      <family val="2"/>
      <charset val="238"/>
    </font>
    <font>
      <b/>
      <sz val="10"/>
      <color rgb="FF000000"/>
      <name val="Tahoma"/>
      <family val="2"/>
      <charset val="238"/>
    </font>
    <font>
      <sz val="9"/>
      <color rgb="FF000000"/>
      <name val="Calibri"/>
      <family val="2"/>
      <charset val="238"/>
      <scheme val="minor"/>
    </font>
    <font>
      <sz val="10"/>
      <color theme="1"/>
      <name val="Calibri"/>
      <family val="2"/>
      <charset val="238"/>
      <scheme val="minor"/>
    </font>
    <font>
      <sz val="11"/>
      <color theme="1"/>
      <name val="Calibri"/>
      <family val="2"/>
      <scheme val="minor"/>
    </font>
    <font>
      <sz val="11"/>
      <color theme="1"/>
      <name val="Calibri"/>
      <family val="2"/>
      <charset val="238"/>
      <scheme val="minor"/>
    </font>
    <font>
      <sz val="10"/>
      <color rgb="FF000000"/>
      <name val="Calibri"/>
      <family val="2"/>
    </font>
    <font>
      <b/>
      <sz val="8"/>
      <color theme="1"/>
      <name val="Arial"/>
      <family val="2"/>
    </font>
  </fonts>
  <fills count="10">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0"/>
        <bgColor indexed="64"/>
      </patternFill>
    </fill>
    <fill>
      <patternFill patternType="solid">
        <fgColor rgb="FF00B0F0"/>
        <bgColor indexed="64"/>
      </patternFill>
    </fill>
    <fill>
      <patternFill patternType="solid">
        <fgColor rgb="FFFF7E79"/>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FFFF"/>
        <bgColor rgb="FF000000"/>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194">
    <xf numFmtId="0" fontId="0" fillId="0" borderId="0" xfId="0"/>
    <xf numFmtId="0" fontId="0" fillId="0" borderId="1" xfId="0" applyBorder="1"/>
    <xf numFmtId="0" fontId="0" fillId="0" borderId="2" xfId="0" applyBorder="1"/>
    <xf numFmtId="0" fontId="2" fillId="0" borderId="2" xfId="0" applyFont="1" applyBorder="1"/>
    <xf numFmtId="0" fontId="0" fillId="0" borderId="3" xfId="0" applyBorder="1"/>
    <xf numFmtId="0" fontId="2" fillId="0" borderId="0" xfId="0" applyFont="1"/>
    <xf numFmtId="0" fontId="0" fillId="0" borderId="5" xfId="0" applyBorder="1"/>
    <xf numFmtId="0" fontId="2" fillId="0" borderId="7" xfId="0" applyFont="1" applyBorder="1"/>
    <xf numFmtId="0" fontId="0" fillId="0" borderId="8" xfId="0" applyBorder="1"/>
    <xf numFmtId="0" fontId="0" fillId="0" borderId="10" xfId="0" applyBorder="1"/>
    <xf numFmtId="0" fontId="0" fillId="0" borderId="11" xfId="0" applyBorder="1"/>
    <xf numFmtId="0" fontId="0" fillId="0" borderId="13" xfId="0" applyBorder="1"/>
    <xf numFmtId="0" fontId="0" fillId="0" borderId="14" xfId="0" applyBorder="1"/>
    <xf numFmtId="0" fontId="0" fillId="0" borderId="15" xfId="0" applyBorder="1"/>
    <xf numFmtId="0" fontId="0" fillId="0" borderId="16" xfId="0" applyBorder="1"/>
    <xf numFmtId="0" fontId="3" fillId="0" borderId="9" xfId="0" applyFont="1" applyBorder="1"/>
    <xf numFmtId="0" fontId="3" fillId="0" borderId="11" xfId="0" applyFont="1" applyBorder="1"/>
    <xf numFmtId="0" fontId="3" fillId="0" borderId="17" xfId="0" applyFont="1" applyBorder="1"/>
    <xf numFmtId="0" fontId="3" fillId="0" borderId="10" xfId="0" applyFont="1" applyBorder="1"/>
    <xf numFmtId="0" fontId="3" fillId="0" borderId="0" xfId="0" applyFont="1"/>
    <xf numFmtId="0" fontId="3" fillId="0" borderId="19" xfId="0" applyFont="1" applyBorder="1"/>
    <xf numFmtId="0" fontId="3" fillId="0" borderId="20" xfId="0" applyFont="1" applyBorder="1"/>
    <xf numFmtId="0" fontId="0" fillId="0" borderId="22" xfId="0" applyBorder="1"/>
    <xf numFmtId="0" fontId="0" fillId="0" borderId="21" xfId="0" applyBorder="1"/>
    <xf numFmtId="0" fontId="0" fillId="0" borderId="23" xfId="0" applyBorder="1"/>
    <xf numFmtId="0" fontId="0" fillId="0" borderId="24" xfId="0" applyBorder="1"/>
    <xf numFmtId="0" fontId="3" fillId="0" borderId="25" xfId="0" applyFont="1" applyBorder="1"/>
    <xf numFmtId="0" fontId="0" fillId="0" borderId="26" xfId="0" applyBorder="1"/>
    <xf numFmtId="0" fontId="3" fillId="0" borderId="4" xfId="0" applyFont="1" applyBorder="1"/>
    <xf numFmtId="0" fontId="0" fillId="0" borderId="4" xfId="0" applyBorder="1"/>
    <xf numFmtId="49" fontId="1" fillId="2" borderId="1" xfId="0" applyNumberFormat="1" applyFont="1" applyFill="1" applyBorder="1"/>
    <xf numFmtId="0" fontId="1" fillId="2" borderId="2" xfId="0" applyFont="1" applyFill="1" applyBorder="1"/>
    <xf numFmtId="0" fontId="0" fillId="2" borderId="2" xfId="0" applyFill="1" applyBorder="1"/>
    <xf numFmtId="0" fontId="0" fillId="2" borderId="3" xfId="0" applyFill="1" applyBorder="1"/>
    <xf numFmtId="0" fontId="1" fillId="2" borderId="1" xfId="0" applyFont="1" applyFill="1" applyBorder="1"/>
    <xf numFmtId="0" fontId="3" fillId="0" borderId="5" xfId="0" applyFont="1" applyBorder="1"/>
    <xf numFmtId="0" fontId="1" fillId="2" borderId="28" xfId="0" applyFont="1" applyFill="1" applyBorder="1"/>
    <xf numFmtId="0" fontId="0" fillId="2" borderId="29" xfId="0" applyFill="1" applyBorder="1"/>
    <xf numFmtId="0" fontId="0" fillId="2" borderId="30" xfId="0" applyFill="1" applyBorder="1"/>
    <xf numFmtId="0" fontId="0" fillId="0" borderId="31" xfId="0" applyBorder="1"/>
    <xf numFmtId="0" fontId="0" fillId="0" borderId="6" xfId="0" applyBorder="1"/>
    <xf numFmtId="0" fontId="0" fillId="0" borderId="7" xfId="0" applyBorder="1"/>
    <xf numFmtId="0" fontId="3" fillId="0" borderId="32" xfId="0" applyFont="1" applyBorder="1"/>
    <xf numFmtId="0" fontId="3" fillId="0" borderId="33" xfId="0" applyFont="1" applyBorder="1"/>
    <xf numFmtId="0" fontId="1" fillId="2" borderId="29" xfId="0" applyFont="1" applyFill="1" applyBorder="1"/>
    <xf numFmtId="0" fontId="1" fillId="2" borderId="38" xfId="0" applyFont="1" applyFill="1" applyBorder="1"/>
    <xf numFmtId="0" fontId="3" fillId="0" borderId="0" xfId="0" applyFont="1" applyAlignment="1">
      <alignment horizontal="right"/>
    </xf>
    <xf numFmtId="0" fontId="0" fillId="0" borderId="0" xfId="0" applyAlignment="1">
      <alignment horizontal="right"/>
    </xf>
    <xf numFmtId="0" fontId="0" fillId="0" borderId="7" xfId="0" applyBorder="1" applyAlignment="1">
      <alignment horizontal="right"/>
    </xf>
    <xf numFmtId="0" fontId="8" fillId="0" borderId="0" xfId="0" applyFont="1"/>
    <xf numFmtId="0" fontId="0" fillId="3" borderId="0" xfId="0" applyFill="1"/>
    <xf numFmtId="0" fontId="10" fillId="0" borderId="0" xfId="0" applyFont="1" applyAlignment="1">
      <alignment horizontal="right"/>
    </xf>
    <xf numFmtId="0" fontId="11" fillId="4" borderId="35" xfId="0" applyFont="1" applyFill="1" applyBorder="1"/>
    <xf numFmtId="0" fontId="12" fillId="0" borderId="35" xfId="0" applyFont="1" applyBorder="1"/>
    <xf numFmtId="0" fontId="11" fillId="0" borderId="35" xfId="0" applyFont="1" applyBorder="1"/>
    <xf numFmtId="0" fontId="3" fillId="0" borderId="36" xfId="0" applyFont="1" applyBorder="1"/>
    <xf numFmtId="0" fontId="3" fillId="0" borderId="12" xfId="0" applyFont="1" applyBorder="1"/>
    <xf numFmtId="0" fontId="0" fillId="2" borderId="40" xfId="0" applyFill="1" applyBorder="1"/>
    <xf numFmtId="0" fontId="1" fillId="2" borderId="39" xfId="0" applyFont="1" applyFill="1" applyBorder="1" applyAlignment="1">
      <alignment horizontal="left"/>
    </xf>
    <xf numFmtId="14" fontId="0" fillId="0" borderId="26" xfId="0" applyNumberFormat="1" applyBorder="1"/>
    <xf numFmtId="14" fontId="0" fillId="0" borderId="18" xfId="0" applyNumberFormat="1" applyBorder="1"/>
    <xf numFmtId="0" fontId="2" fillId="0" borderId="5" xfId="0" applyFont="1" applyBorder="1"/>
    <xf numFmtId="0" fontId="1" fillId="0" borderId="4" xfId="0" applyFont="1" applyBorder="1"/>
    <xf numFmtId="0" fontId="1" fillId="2" borderId="21" xfId="0" applyFont="1" applyFill="1" applyBorder="1"/>
    <xf numFmtId="0" fontId="0" fillId="2" borderId="15" xfId="0" applyFill="1" applyBorder="1"/>
    <xf numFmtId="0" fontId="0" fillId="2" borderId="24" xfId="0" applyFill="1" applyBorder="1"/>
    <xf numFmtId="0" fontId="0" fillId="2" borderId="0" xfId="0" applyFill="1"/>
    <xf numFmtId="0" fontId="15" fillId="0" borderId="9" xfId="0" applyFont="1" applyBorder="1"/>
    <xf numFmtId="0" fontId="15" fillId="0" borderId="10" xfId="0" applyFont="1" applyBorder="1"/>
    <xf numFmtId="0" fontId="15" fillId="0" borderId="10" xfId="0" applyFont="1" applyBorder="1" applyAlignment="1">
      <alignment horizontal="right"/>
    </xf>
    <xf numFmtId="0" fontId="15" fillId="0" borderId="9" xfId="0" applyFont="1" applyBorder="1" applyAlignment="1">
      <alignment horizontal="right"/>
    </xf>
    <xf numFmtId="0" fontId="0" fillId="0" borderId="14" xfId="0" applyBorder="1" applyAlignment="1">
      <alignment horizontal="right"/>
    </xf>
    <xf numFmtId="0" fontId="11" fillId="5" borderId="35" xfId="0" applyFont="1" applyFill="1" applyBorder="1"/>
    <xf numFmtId="14" fontId="0" fillId="0" borderId="15" xfId="0" applyNumberFormat="1" applyBorder="1"/>
    <xf numFmtId="0" fontId="1" fillId="0" borderId="34" xfId="0" applyFont="1" applyBorder="1" applyAlignment="1">
      <alignment horizontal="center"/>
    </xf>
    <xf numFmtId="0" fontId="0" fillId="6" borderId="6" xfId="0" applyFill="1" applyBorder="1"/>
    <xf numFmtId="0" fontId="8" fillId="0" borderId="2" xfId="0" applyFont="1" applyBorder="1"/>
    <xf numFmtId="0" fontId="8" fillId="0" borderId="3" xfId="0" applyFont="1" applyBorder="1"/>
    <xf numFmtId="0" fontId="0" fillId="7" borderId="7" xfId="0" applyFill="1" applyBorder="1"/>
    <xf numFmtId="0" fontId="0" fillId="7" borderId="8" xfId="0" applyFill="1" applyBorder="1"/>
    <xf numFmtId="0" fontId="17" fillId="0" borderId="2" xfId="0" applyFont="1" applyBorder="1"/>
    <xf numFmtId="0" fontId="8" fillId="0" borderId="41" xfId="0" applyFont="1" applyBorder="1"/>
    <xf numFmtId="0" fontId="8" fillId="2" borderId="37" xfId="0" applyFont="1" applyFill="1" applyBorder="1"/>
    <xf numFmtId="0" fontId="8" fillId="2" borderId="38" xfId="0" applyFont="1" applyFill="1" applyBorder="1"/>
    <xf numFmtId="0" fontId="0" fillId="6" borderId="42" xfId="0" applyFill="1" applyBorder="1"/>
    <xf numFmtId="0" fontId="1" fillId="2" borderId="4" xfId="0" applyFont="1" applyFill="1" applyBorder="1"/>
    <xf numFmtId="0" fontId="3" fillId="0" borderId="43" xfId="0" applyFont="1" applyBorder="1"/>
    <xf numFmtId="0" fontId="1" fillId="2" borderId="15" xfId="0" applyFont="1" applyFill="1" applyBorder="1" applyAlignment="1">
      <alignment horizontal="right"/>
    </xf>
    <xf numFmtId="0" fontId="1" fillId="2" borderId="0" xfId="0" applyFont="1" applyFill="1" applyAlignment="1">
      <alignment horizontal="right"/>
    </xf>
    <xf numFmtId="0" fontId="11" fillId="4" borderId="0" xfId="0" applyFont="1" applyFill="1"/>
    <xf numFmtId="0" fontId="11" fillId="8" borderId="35" xfId="0" applyFont="1" applyFill="1" applyBorder="1"/>
    <xf numFmtId="14" fontId="11" fillId="8" borderId="35" xfId="0" applyNumberFormat="1" applyFont="1" applyFill="1" applyBorder="1"/>
    <xf numFmtId="0" fontId="0" fillId="8" borderId="42" xfId="0" applyFill="1" applyBorder="1"/>
    <xf numFmtId="0" fontId="1" fillId="0" borderId="18" xfId="0" applyFont="1" applyBorder="1"/>
    <xf numFmtId="0" fontId="18" fillId="0" borderId="35" xfId="0" applyFont="1" applyBorder="1" applyAlignment="1">
      <alignment wrapText="1"/>
    </xf>
    <xf numFmtId="0" fontId="1" fillId="0" borderId="35" xfId="0" applyFont="1" applyBorder="1" applyAlignment="1">
      <alignment wrapText="1"/>
    </xf>
    <xf numFmtId="14" fontId="1" fillId="0" borderId="18" xfId="0" applyNumberFormat="1" applyFont="1" applyBorder="1"/>
    <xf numFmtId="0" fontId="1" fillId="0" borderId="35" xfId="0" applyFont="1" applyBorder="1"/>
    <xf numFmtId="0" fontId="1" fillId="0" borderId="0" xfId="0" applyFont="1"/>
    <xf numFmtId="0" fontId="21" fillId="9" borderId="35" xfId="0" applyFont="1" applyFill="1" applyBorder="1"/>
    <xf numFmtId="0" fontId="9" fillId="0" borderId="0" xfId="1"/>
    <xf numFmtId="14" fontId="0" fillId="8" borderId="7" xfId="0" applyNumberFormat="1" applyFill="1" applyBorder="1"/>
    <xf numFmtId="49" fontId="0" fillId="0" borderId="10" xfId="0" applyNumberFormat="1" applyBorder="1"/>
    <xf numFmtId="0" fontId="3" fillId="2" borderId="37" xfId="0" applyFont="1" applyFill="1" applyBorder="1" applyAlignment="1">
      <alignment horizontal="center"/>
    </xf>
    <xf numFmtId="0" fontId="2" fillId="0" borderId="5" xfId="0" applyFont="1" applyBorder="1" applyAlignment="1">
      <alignment horizontal="left"/>
    </xf>
    <xf numFmtId="0" fontId="1" fillId="0" borderId="0" xfId="0" applyFont="1" applyAlignment="1">
      <alignment wrapText="1"/>
    </xf>
    <xf numFmtId="0" fontId="13" fillId="0" borderId="45" xfId="0" applyFont="1" applyBorder="1"/>
    <xf numFmtId="0" fontId="11" fillId="0" borderId="37" xfId="0" applyFont="1" applyBorder="1"/>
    <xf numFmtId="0" fontId="11" fillId="4" borderId="37" xfId="0" applyFont="1" applyFill="1" applyBorder="1"/>
    <xf numFmtId="0" fontId="22" fillId="2" borderId="30" xfId="0" applyFont="1" applyFill="1" applyBorder="1"/>
    <xf numFmtId="0" fontId="0" fillId="6" borderId="42" xfId="0" applyFill="1" applyBorder="1" applyAlignment="1">
      <alignment wrapText="1"/>
    </xf>
    <xf numFmtId="44" fontId="23" fillId="2" borderId="0" xfId="0" applyNumberFormat="1" applyFont="1" applyFill="1"/>
    <xf numFmtId="44" fontId="24" fillId="0" borderId="0" xfId="0" applyNumberFormat="1" applyFont="1"/>
    <xf numFmtId="165" fontId="0" fillId="0" borderId="18" xfId="0" applyNumberFormat="1" applyBorder="1"/>
    <xf numFmtId="49" fontId="1" fillId="2" borderId="0" xfId="0" applyNumberFormat="1" applyFont="1" applyFill="1"/>
    <xf numFmtId="0" fontId="1" fillId="0" borderId="27"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0" borderId="6" xfId="0" applyFont="1" applyBorder="1" applyAlignment="1">
      <alignment horizontal="center"/>
    </xf>
    <xf numFmtId="0" fontId="1" fillId="2" borderId="28" xfId="0" applyFont="1" applyFill="1" applyBorder="1" applyAlignment="1">
      <alignment horizontal="left"/>
    </xf>
    <xf numFmtId="0" fontId="1" fillId="2" borderId="29" xfId="0" applyFont="1" applyFill="1" applyBorder="1" applyAlignment="1">
      <alignment horizontal="left"/>
    </xf>
    <xf numFmtId="0" fontId="1" fillId="2" borderId="30" xfId="0" applyFont="1" applyFill="1" applyBorder="1" applyAlignment="1">
      <alignment horizontal="left"/>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14" fillId="0" borderId="4" xfId="0" applyFont="1" applyBorder="1" applyAlignment="1">
      <alignment horizontal="left" vertical="top" wrapText="1" shrinkToFit="1"/>
    </xf>
    <xf numFmtId="0" fontId="14" fillId="0" borderId="0" xfId="0" applyFont="1" applyAlignment="1">
      <alignment horizontal="left" vertical="top" wrapText="1" shrinkToFit="1"/>
    </xf>
    <xf numFmtId="0" fontId="14" fillId="0" borderId="6" xfId="0" applyFont="1" applyBorder="1" applyAlignment="1">
      <alignment horizontal="left" vertical="top" wrapText="1" shrinkToFit="1"/>
    </xf>
    <xf numFmtId="0" fontId="14" fillId="0" borderId="7" xfId="0" applyFont="1" applyBorder="1" applyAlignment="1">
      <alignment horizontal="left" vertical="top" wrapText="1" shrinkToFit="1"/>
    </xf>
    <xf numFmtId="0" fontId="0" fillId="0" borderId="21" xfId="0" applyBorder="1" applyAlignment="1">
      <alignment horizontal="center"/>
    </xf>
    <xf numFmtId="0" fontId="0" fillId="0" borderId="15" xfId="0" applyBorder="1" applyAlignment="1">
      <alignment horizontal="center"/>
    </xf>
    <xf numFmtId="49" fontId="0" fillId="0" borderId="6" xfId="0" applyNumberFormat="1" applyBorder="1" applyAlignment="1">
      <alignment horizontal="center"/>
    </xf>
    <xf numFmtId="49" fontId="0" fillId="0" borderId="44" xfId="0" applyNumberFormat="1" applyBorder="1" applyAlignment="1">
      <alignment horizontal="center"/>
    </xf>
    <xf numFmtId="49" fontId="0" fillId="0" borderId="12" xfId="0" applyNumberFormat="1" applyBorder="1" applyAlignment="1">
      <alignment horizontal="center"/>
    </xf>
    <xf numFmtId="49" fontId="0" fillId="0" borderId="0" xfId="0" applyNumberFormat="1" applyAlignment="1">
      <alignment horizontal="center"/>
    </xf>
    <xf numFmtId="0" fontId="1" fillId="0" borderId="21" xfId="0" applyFont="1" applyBorder="1" applyAlignment="1">
      <alignment horizontal="center"/>
    </xf>
    <xf numFmtId="0" fontId="1" fillId="0" borderId="15" xfId="0" applyFont="1" applyBorder="1" applyAlignment="1">
      <alignment horizontal="center"/>
    </xf>
    <xf numFmtId="14" fontId="0" fillId="0" borderId="21" xfId="0" applyNumberFormat="1"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0" fillId="0" borderId="44" xfId="0" applyBorder="1" applyAlignment="1">
      <alignment horizontal="center"/>
    </xf>
    <xf numFmtId="0" fontId="0" fillId="0" borderId="27" xfId="0" applyBorder="1" applyAlignment="1">
      <alignment horizontal="center"/>
    </xf>
    <xf numFmtId="0" fontId="0" fillId="0" borderId="24" xfId="0" applyBorder="1" applyAlignment="1">
      <alignment horizontal="center"/>
    </xf>
    <xf numFmtId="0" fontId="3" fillId="0" borderId="9" xfId="0" applyFont="1" applyBorder="1" applyAlignment="1">
      <alignment horizontal="left"/>
    </xf>
    <xf numFmtId="0" fontId="3" fillId="0" borderId="23" xfId="0" applyFont="1" applyBorder="1" applyAlignment="1">
      <alignment horizontal="left"/>
    </xf>
    <xf numFmtId="0" fontId="7" fillId="0" borderId="11" xfId="0" applyFont="1" applyBorder="1" applyAlignment="1">
      <alignment horizontal="center" vertical="center"/>
    </xf>
    <xf numFmtId="0" fontId="7" fillId="0" borderId="16" xfId="0" applyFont="1" applyBorder="1" applyAlignment="1">
      <alignment horizontal="center" vertical="center"/>
    </xf>
    <xf numFmtId="49" fontId="7" fillId="0" borderId="11" xfId="0" applyNumberFormat="1" applyFont="1" applyBorder="1" applyAlignment="1">
      <alignment horizontal="center" vertical="center"/>
    </xf>
    <xf numFmtId="49" fontId="7" fillId="0" borderId="16" xfId="0" applyNumberFormat="1" applyFont="1"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16" fillId="2" borderId="4" xfId="0" applyFont="1" applyFill="1" applyBorder="1" applyAlignment="1">
      <alignment horizontal="center" vertical="center"/>
    </xf>
    <xf numFmtId="2" fontId="15" fillId="2" borderId="0" xfId="0" applyNumberFormat="1" applyFont="1" applyFill="1" applyAlignment="1">
      <alignment horizontal="right" vertical="center"/>
    </xf>
    <xf numFmtId="0" fontId="4" fillId="0" borderId="19" xfId="0" applyFont="1" applyBorder="1" applyAlignment="1">
      <alignment horizontal="left" vertical="top" wrapText="1"/>
    </xf>
    <xf numFmtId="0" fontId="4" fillId="0" borderId="10" xfId="0" applyFont="1" applyBorder="1" applyAlignment="1">
      <alignment horizontal="left" vertical="top" wrapText="1"/>
    </xf>
    <xf numFmtId="0" fontId="4" fillId="0" borderId="23" xfId="0" applyFont="1" applyBorder="1" applyAlignment="1">
      <alignment horizontal="left" vertical="top" wrapText="1"/>
    </xf>
    <xf numFmtId="0" fontId="4" fillId="0" borderId="4" xfId="0" applyFont="1" applyBorder="1" applyAlignment="1">
      <alignment horizontal="left" vertical="top"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1" fillId="2" borderId="21" xfId="0" applyFont="1" applyFill="1" applyBorder="1" applyAlignment="1">
      <alignment horizontal="left"/>
    </xf>
    <xf numFmtId="0" fontId="1" fillId="2" borderId="15" xfId="0" applyFont="1" applyFill="1" applyBorder="1" applyAlignment="1">
      <alignment horizontal="left"/>
    </xf>
    <xf numFmtId="0" fontId="1" fillId="2" borderId="24" xfId="0" applyFont="1" applyFill="1" applyBorder="1" applyAlignment="1">
      <alignment horizontal="left"/>
    </xf>
    <xf numFmtId="0" fontId="1" fillId="2" borderId="2" xfId="0" applyFont="1" applyFill="1" applyBorder="1" applyAlignment="1">
      <alignment horizontal="left"/>
    </xf>
    <xf numFmtId="0" fontId="3" fillId="0" borderId="19" xfId="0" applyFont="1" applyBorder="1" applyAlignment="1">
      <alignment horizontal="left"/>
    </xf>
    <xf numFmtId="14" fontId="2" fillId="0" borderId="12" xfId="0" applyNumberFormat="1" applyFont="1" applyBorder="1" applyAlignment="1">
      <alignment horizontal="left" vertical="top" wrapText="1"/>
    </xf>
    <xf numFmtId="14" fontId="2" fillId="0" borderId="0" xfId="0" applyNumberFormat="1" applyFont="1" applyAlignment="1">
      <alignment horizontal="left" vertical="top" wrapText="1"/>
    </xf>
    <xf numFmtId="14" fontId="2" fillId="0" borderId="13" xfId="0" applyNumberFormat="1" applyFont="1" applyBorder="1" applyAlignment="1">
      <alignment horizontal="left" vertical="top" wrapText="1"/>
    </xf>
    <xf numFmtId="14" fontId="2" fillId="0" borderId="14" xfId="0" applyNumberFormat="1" applyFont="1" applyBorder="1" applyAlignment="1">
      <alignment horizontal="left" vertical="top" wrapText="1"/>
    </xf>
    <xf numFmtId="14" fontId="2" fillId="0" borderId="15" xfId="0" applyNumberFormat="1" applyFont="1" applyBorder="1" applyAlignment="1">
      <alignment horizontal="left" vertical="top" wrapText="1"/>
    </xf>
    <xf numFmtId="14" fontId="2" fillId="0" borderId="16" xfId="0" applyNumberFormat="1" applyFont="1" applyBorder="1" applyAlignment="1">
      <alignment horizontal="left" vertical="top" wrapText="1"/>
    </xf>
    <xf numFmtId="164" fontId="1" fillId="2" borderId="0" xfId="0" applyNumberFormat="1" applyFont="1" applyFill="1" applyAlignment="1">
      <alignment horizontal="center"/>
    </xf>
    <xf numFmtId="0" fontId="26" fillId="0" borderId="2" xfId="0" applyFont="1" applyBorder="1" applyAlignment="1">
      <alignment horizontal="center" vertical="top" wrapText="1"/>
    </xf>
    <xf numFmtId="0" fontId="6" fillId="0" borderId="2" xfId="0" applyFont="1" applyBorder="1" applyAlignment="1">
      <alignment horizontal="center" vertical="top" wrapText="1"/>
    </xf>
    <xf numFmtId="0" fontId="6" fillId="0" borderId="0" xfId="0" applyFont="1" applyAlignment="1">
      <alignment horizontal="center" vertical="top" wrapText="1"/>
    </xf>
    <xf numFmtId="164" fontId="1" fillId="2" borderId="40" xfId="0" applyNumberFormat="1" applyFont="1" applyFill="1" applyBorder="1" applyAlignment="1">
      <alignment horizontal="center"/>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12" xfId="0" applyFont="1" applyBorder="1" applyAlignment="1">
      <alignment horizontal="center"/>
    </xf>
    <xf numFmtId="0" fontId="2" fillId="0" borderId="0" xfId="0" applyFont="1" applyAlignment="1">
      <alignment horizontal="center"/>
    </xf>
    <xf numFmtId="0" fontId="2" fillId="0" borderId="13" xfId="0" applyFont="1" applyBorder="1" applyAlignment="1">
      <alignment horizontal="center"/>
    </xf>
    <xf numFmtId="0" fontId="1" fillId="2" borderId="5" xfId="0" applyFont="1" applyFill="1" applyBorder="1" applyAlignment="1">
      <alignment horizontal="left" vertical="center" wrapText="1"/>
    </xf>
  </cellXfs>
  <cellStyles count="2">
    <cellStyle name="Hypertextový odkaz" xfId="1" builtinId="8"/>
    <cellStyle name="Normální" xfId="0" builtinId="0"/>
  </cellStyles>
  <dxfs count="0"/>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1</xdr:col>
      <xdr:colOff>749300</xdr:colOff>
      <xdr:row>3</xdr:row>
      <xdr:rowOff>223838</xdr:rowOff>
    </xdr:to>
    <xdr:pic>
      <xdr:nvPicPr>
        <xdr:cNvPr id="5" name="Obrázek 4">
          <a:extLst>
            <a:ext uri="{FF2B5EF4-FFF2-40B4-BE49-F238E27FC236}">
              <a16:creationId xmlns:a16="http://schemas.microsoft.com/office/drawing/2014/main" id="{67A2742B-A8EC-DB47-A906-2696A2663E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12700"/>
          <a:ext cx="1866900" cy="833438"/>
        </a:xfrm>
        <a:prstGeom prst="rect">
          <a:avLst/>
        </a:prstGeom>
      </xdr:spPr>
    </xdr:pic>
    <xdr:clientData/>
  </xdr:twoCellAnchor>
  <xdr:oneCellAnchor>
    <xdr:from>
      <xdr:col>0</xdr:col>
      <xdr:colOff>1</xdr:colOff>
      <xdr:row>48</xdr:row>
      <xdr:rowOff>55910</xdr:rowOff>
    </xdr:from>
    <xdr:ext cx="6605596" cy="9728681"/>
    <xdr:sp macro="" textlink="">
      <xdr:nvSpPr>
        <xdr:cNvPr id="4" name="TextovéPole 3">
          <a:extLst>
            <a:ext uri="{FF2B5EF4-FFF2-40B4-BE49-F238E27FC236}">
              <a16:creationId xmlns:a16="http://schemas.microsoft.com/office/drawing/2014/main" id="{24C1DF8B-4AB0-9C4A-AE59-27AF62011491}"/>
            </a:ext>
          </a:extLst>
        </xdr:cNvPr>
        <xdr:cNvSpPr txBox="1"/>
      </xdr:nvSpPr>
      <xdr:spPr>
        <a:xfrm>
          <a:off x="1" y="9936350"/>
          <a:ext cx="6605596" cy="9728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1. NÁJEMNÍ SMLOUVA</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fontAlgn="auto" latinLnBrk="0" hangingPunct="1"/>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Nájemní smlouva se uzavírá na dobu určitou, počínaje datem a hodinou na ní uvedené a zaniká uplynutím sjednané nájemní doby. Dobu nájmu lze prodloužit nejpozději 48 hodin před uplynutím doby, na kterou byla nájemní smlouva původně sjednána, pokud pronajímatel toto prodloužení potvrdí. V takovém případě zůstanou nájemci zachovány všechny sjednané podmínky. Nedojde-li k prodloužení nájemní smlouvy je vrácení vozidla nájemcem později, než v době dohodnuté ve smlouvě považováno za porušení nájemní smlouvy pod pokutou 60.000,- Kč a nájemce souhlasí s tím, že pronajímatel může ohlásit toto vozidlo jako ztracené, nebo zcizené policejním orgánům, příp. podá žalobu na vydání věci u příslušného soudu s tím, že důsledky, které z takové skutečnosti mohou vyplynout, nese výlučně nájemce. Nájemce je povinen doplatit pronájem vč. všech poplatků až do předání vozu zpět pronajímateli v plné výši. Dnem, kdy podle nájemní smlouvy měl vozidlo vrátit pronajímateli navíc ztrácí nárok na omezení své odpovědnosti ze sjednaných podmínek (viz. bod 13). V případě krádeže, nebo havárie vozidla je nájemce povinen platit nájemné, včetně všech dalších poplatků až do té doby, dokud není vůz opraven v příslušném servise a šetření krádeže ukončeno příslušnými orgány.  Pronajímatel je povinen předat nájemci vozidlo v dobrém technickém stavu, v čase a místě uvedeném v nájemní smlouvě. Veškeré zjevné vady, stížnosti a připomínky týkající se pronajatého vozidla musí být nájemcem uplatněny nejpozději při převzetí vozidla a musí být zaznamenány v nájemní smlouvě. Nájemce je povinen vrátit pronajímateli vozidlo včetně veškerého příslušenství a dokumentů, v době a místě uvedeném v nájemní smlouvě a ve stavu, v jakém je převzal s přihlédnutím k obvyklému opotřebení. Vozidlo včetně dokladů a klíčů musí převzít k tomu určený zaměstnanec pronajímatele, do té doby nese nájemce plnou zodpovědnost za veškeré škody na vozidle a stav vozidla. </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2. PODMÍNKY UŽÍVÁNÍ</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Nájemce je povinen pronajaté vozidlo užívat výhradně k osobním účelům a dodržovat při tom všechny dopravní, jakož i jiné platné předpisy. Nájemce je povinen pečovat o to, aby na vozidle nevznikla škoda a dodržovat podmínky a doporučení stanovená pronajímatelem. Nájemce je povinen zabezpečit vozidlo proti odcizení, zneužití, nebo poškození. Zejména je povinen po zaparkování nenechávat ve vozidle klíče a dokumenty k němu a vozidlo uzamknout. Porušení některé z těchto povinností je považováno za podstatné porušení smlouvy o pronájmu. Nájemce nesmí přenechat užívání vozidla jiné než ve smlouvě uvedené osobě, zúčastňovat se s vozidlem závodů, soutěží nebo podobných akcí, používat vozidlo k převozu osob či majetku za úplatu, používat vozidlo k tlačení, nebo vlečení automobilů, přívěsů, nebo jiných předmětů a provádět na vozidle změny a úpravy. Nájemce nesmí řídit vozidlo po požití alkoholu, omamných látek, léků a nebo jiných látek, které mohou mít vliv na vnímání a schopnost reakce, nebo takové osobě přenechat vozidlo k řízení, jinak hradí všechny případné škody v plné výši. Pronajímatel je oprávněn požadovat přístup k vozidlu za účelem kontroly, zda je nájemce užívá řádným způsobem v souladu s podmínkami nájemní smlouvy. Nájemce je povinen tuto kontrolu pronajímateli neprodleně umožnit. V případě, že nájemce bude chtít užívat pronajaté vozidlo v zahraničí, je povinen nejdříve si vyžádat svolení pronajímatele. Při udělení svolení je následně možné vozidlo používat pouze zemích EU kromě Rumunska, Bulharska, Estonska, Litvy a Lotyšska. Zároveň je zakázán vjezd do všech kandidátských zemí jako je Makedonie, Černá Hora, Srbsko, Albánie, Bosna a Hercegovina a Kosovo. Nájemce si je vědom toho, že při porušení této povinnosti bude vozidlo nahlášeno jako odcizené a vystavuje se tím možnému zatčení a zadržení vozidla. Nájemce odpovídá pronajímateli za škodu, která by vznikla nedodržením, nebo porušením této povinnosti a v případě, že pronajaté vozidlo bude v zahraničí nájemci zadrženo, nebo zabaveno, je povinen podniknout veškerá opatření nutná k uvolnění vozidla a po celou dobu řádně platit sjednané nájemné. Doba nájmu v tomto případě neskončí dříve, než bude vozidlo předáno zpět pronajímateli. Nájemce je povinen navíc uhradit všechny vzniklé náklady s dopravou na místo vrácení určené ve smlouvě.</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3. NÁJEMNÉ A POPLATKY</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Nájemce se zavazuje platit nájemné a všechny další poplatky uvedené v nájemní smlouvě, k nimž se zavázal svým podpisem, řádně a včas pronajímateli. Bude-li nájemce v prodlení s placením jakékoliv platby na základě této Smlouvy, zaplatí nájemce pronajímateli denní úrok z prodlení ve výši pěti desetin procenta (0,05 %) z dlužné částky za každý započatý den prodlení. V případě pronájmu sjednaného na dobu delší než jeden měsíc, bude účtování, nebo fakturace prováděna průběžně. Měsíční nájemné je splatné předem, vždy na následující měsíc, případně jeho část. Složená záloha dle typu vozidla a délky pronájmu, kterou je povinen nájemce složit u pronajímatele při podpisu nájemní smlouvy formou předautorizace na platební kartě nebo převodem na bankovní účet pronajímatele, bude zúčtována po vrácení vozu. Složením zálohy není dotčena povinnost nájemce platit nájem. Výši zálohy určí pronajímatel, přičemž tato může být v průběhu nájmu navýšena a zúčtována dle skutečných nákladů, které z nájmu vozidla vzniknou. V případě předčasného ukončení nájmu ze strany nájemce, bude kauce použita na úhradu škody z ušlého zisku.    </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4. OPRAVA A ÚDRŽBA</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Běžné opravy, údržba vozidla, jakož i pravidelné servisní prohlídky vozidla provede, nebo zabezpečí na svoje náklady pronajímatel, není-li dohodnuto jinak, nebo kdy potřeba opravy vznikla v důsledku nesprávného používání vozidla, nebo v rozporu s obvyklým způsobem používání, popř. porušením podmínek této nájemní smlouvy. V takových případech nese náklady na opravu v plném rozsahu nájemce a dále nájemce odpovídá za škodu v plném rozsahu, která v důsledku takové činnosti vznikne. Nájemce je povinen umožnit provedení oprav, údržby, servisní prohlídku vozidla a strpět omezení v užívání vozidla v rozsahu nutném pro jejich provedení. V případě, že nájemce nepřistaví pronajatý vůz k pravidelné servisní prohlídce, (zobrazí se na displeji vozu) nebo přistaví vůz po překročení předepsaného limitu o více než 500 km, zaplatí nájemce smluvní pokutu ve výši 10 % z pořizovací ceny vozu a veškeré náklady spojené se servisní prohlídkou.</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5. ODPOVĚDNOST ZA ŠKODU</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Pronajímatel zabezpečuje osobám oprávněným řídit vozidlo pojištění v rozsahu a za podmínek zákonného pojištění odpovědnosti za škodu způsobenou provozem motorového vozidla. Pokud nebylo dohodnuto jinak, hradí nájemce při škodě spoluúčast ve výši 10 % z celkové škody min. 10.000,- Kč za každou způsobenou pojistnou událost. Škoda na příslušenství se hradí v plné výši. Spoluúčast se hradí vždy, když škodu způsobí nájemce, nebo viník není znám, stejně jako náklady na dopravu vozidla zpět k pronajímateli. Pokuty vyměřené nájemci za dopravní přestupky, škody vzniklé ztrátou dokladů, klíčů, nebo příslušenství k vozidlu, včetně nákladů a administrativních poplatků, které bylo třeba vynaložit na nápravu takto vzniklých škod jsou vždy k tíži nájemce. Administrativní poplatek za vyřízení: dopravního přestupku činí 400,-Kč, každé pojistné události 1000,-Kč, dotankováni vozidla 300,-kč, uvedené ceny jsou bez 21% DPH.</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6. NEHODA, POŠKOZENÍ A ODCIZENÍ VOZIDLA</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V případě dopravní nehody, poškození, nebo odcizení vozidla, popř. jeho části, poranění, nebo usmrcení osob (bez ohledu na to, zda je zavinil nájemce či nikoliv) je nájemce povinen toto oznámit pronajímateli a Policii, aby nehodu vyšetřila a o šetření, popř. jeho výsledku vydala nájemci potvrzení, které je povinen neprodleně předat pronajímateli. V případě jakékoliv škodní události je nájemce povinen vždy vyplnit všechny údaje požadované ve formuláři „Oznámení o dopravní nehodě“. Nepojízdné vozidlo musí být zabezpečeno před dalším poškozením, nebo odcizením. Nájemce je povinen poskytovat Policii, pronajímateli a jeho pojišťovací společnosti veškerou součinnost potřebnou k plnému prošetření škodní události a spojenou s její likvidací, případně s jejím soudním projednáváním.</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7. ZPRACOVÁNÍ OSOBNÍCH ÚDAJŮ</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Zpracování osobních údajů probíhá zásadně zákonným způsobem a v souladu se zákonem č. 101/2000 Sb., o ochraně osobních údajů a s novým NAŘÍZENÍM EVROPSKÉHO PARLAMENTU A RADY (EU) 2016/679 (známé jako GDPR). Ke zpracování osobních údajů máme vždy zákonný důvod. Zpracování se řídí pravidly a zásadami zpracování.</a:t>
          </a:r>
        </a:p>
        <a:p>
          <a:pPr algn="l"/>
          <a:r>
            <a:rPr lang="cs-CZ" sz="700" b="1" i="0" u="sng" cap="all"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8. OSTATNÍ</a:t>
          </a:r>
          <a:endParaRPr lang="cs-CZ" sz="700" b="1" i="0" u="sng"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endParaRPr>
        </a:p>
        <a:p>
          <a:pPr algn="l"/>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Nájemce souhlasí s tím, aby údaje z této nájemní smlouvy vč. jeho osobních údajů byly zpracovány a uchovány v databázi pronajímatele. Užívá-li nájemce vozidlo v rozporu se sjednanými podmínkami, nebo způsobem, kterým způsobuje pronajímateli škodu, nebo tato škoda hrozí, má pronajímatel právo nájemní smlouvu vypovědět s okamžitou platností. Pronajímatel může smlouvu vypovědět rovněž v případě, že nájemce neplatí nájemné v dohodnutých částkách a termínech.</a:t>
          </a:r>
          <a:b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br>
          <a:r>
            <a:rPr lang="cs-CZ" sz="700" b="0" i="0" spc="0" baseline="0">
              <a:solidFill>
                <a:schemeClr val="tx1"/>
              </a:solidFill>
              <a:effectLst/>
              <a:latin typeface="Courier" pitchFamily="2" charset="0"/>
              <a:ea typeface="HELVETICA NEUE CONDENSED" panose="02000503000000020004" pitchFamily="2" charset="0"/>
              <a:cs typeface="HELVETICA NEUE CONDENSED" panose="02000503000000020004" pitchFamily="2" charset="0"/>
            </a:rPr>
            <a:t>V záležitostech, které nejsou touto nájemní smlouvou (a podmínkami) výslovně upraveny, se nájemní vztah řídí příslušnými ustanoveními právních předpisů České republiky.</a:t>
          </a:r>
        </a:p>
        <a:p>
          <a:pPr algn="l"/>
          <a:endParaRPr lang="cs-CZ" sz="700" b="0" i="0" spc="0" baseline="0">
            <a:latin typeface="Courier" pitchFamily="2" charset="0"/>
            <a:ea typeface="HELVETICA NEUE CONDENSED" panose="02000503000000020004" pitchFamily="2" charset="0"/>
            <a:cs typeface="HELVETICA NEUE CONDENSED" panose="02000503000000020004" pitchFamily="2" charset="0"/>
          </a:endParaRPr>
        </a:p>
      </xdr:txBody>
    </xdr:sp>
    <xdr:clientData/>
  </xdr:oneCellAnchor>
  <xdr:twoCellAnchor editAs="oneCell">
    <xdr:from>
      <xdr:col>1</xdr:col>
      <xdr:colOff>26024</xdr:colOff>
      <xdr:row>107</xdr:row>
      <xdr:rowOff>152869</xdr:rowOff>
    </xdr:from>
    <xdr:to>
      <xdr:col>5</xdr:col>
      <xdr:colOff>760470</xdr:colOff>
      <xdr:row>120</xdr:row>
      <xdr:rowOff>175640</xdr:rowOff>
    </xdr:to>
    <xdr:pic>
      <xdr:nvPicPr>
        <xdr:cNvPr id="6" name="Obrázek 5">
          <a:extLst>
            <a:ext uri="{FF2B5EF4-FFF2-40B4-BE49-F238E27FC236}">
              <a16:creationId xmlns:a16="http://schemas.microsoft.com/office/drawing/2014/main" id="{72F40BA4-1A97-6745-B459-50E615A379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4913" y="21154906"/>
          <a:ext cx="4199362" cy="2621567"/>
        </a:xfrm>
        <a:prstGeom prst="rect">
          <a:avLst/>
        </a:prstGeom>
      </xdr:spPr>
    </xdr:pic>
    <xdr:clientData/>
  </xdr:twoCellAnchor>
  <xdr:twoCellAnchor editAs="oneCell">
    <xdr:from>
      <xdr:col>1</xdr:col>
      <xdr:colOff>23520</xdr:colOff>
      <xdr:row>129</xdr:row>
      <xdr:rowOff>47035</xdr:rowOff>
    </xdr:from>
    <xdr:to>
      <xdr:col>5</xdr:col>
      <xdr:colOff>833310</xdr:colOff>
      <xdr:row>142</xdr:row>
      <xdr:rowOff>116841</xdr:rowOff>
    </xdr:to>
    <xdr:pic>
      <xdr:nvPicPr>
        <xdr:cNvPr id="7" name="Obrázek 6">
          <a:extLst>
            <a:ext uri="{FF2B5EF4-FFF2-40B4-BE49-F238E27FC236}">
              <a16:creationId xmlns:a16="http://schemas.microsoft.com/office/drawing/2014/main" id="{35EC7833-9FF0-AC47-A81C-2BA25D2393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2409" y="25470554"/>
          <a:ext cx="4274706" cy="2668603"/>
        </a:xfrm>
        <a:prstGeom prst="rect">
          <a:avLst/>
        </a:prstGeom>
      </xdr:spPr>
    </xdr:pic>
    <xdr:clientData/>
  </xdr:twoCellAnchor>
</xdr:wsDr>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FC75-D643-9542-A264-0F4254F50AD3}">
  <dimension ref="A1:G146"/>
  <sheetViews>
    <sheetView showZeros="0" tabSelected="1" view="pageBreakPreview" topLeftCell="A6" zoomScale="159" zoomScaleNormal="236" zoomScaleSheetLayoutView="77" zoomScalePageLayoutView="108" workbookViewId="0">
      <selection activeCell="G33" sqref="G33:G34"/>
    </sheetView>
  </sheetViews>
  <sheetFormatPr baseColWidth="10" defaultRowHeight="16"/>
  <cols>
    <col min="1" max="1" width="14.83203125" customWidth="1"/>
    <col min="2" max="2" width="12" customWidth="1"/>
    <col min="3" max="3" width="9.1640625" customWidth="1"/>
    <col min="4" max="4" width="12.33203125" customWidth="1"/>
    <col min="5" max="5" width="12" bestFit="1" customWidth="1"/>
    <col min="6" max="6" width="12.33203125" customWidth="1"/>
    <col min="7" max="7" width="14" customWidth="1"/>
    <col min="14" max="14" width="15.1640625" customWidth="1"/>
  </cols>
  <sheetData>
    <row r="1" spans="1:7" ht="17" thickBot="1">
      <c r="A1" s="1"/>
      <c r="B1" s="2"/>
      <c r="C1" s="3" t="s">
        <v>0</v>
      </c>
      <c r="D1" s="2"/>
      <c r="E1" s="45" t="s">
        <v>3</v>
      </c>
      <c r="F1" s="57"/>
      <c r="G1" s="58">
        <f>Data!C6</f>
        <v>0</v>
      </c>
    </row>
    <row r="2" spans="1:7">
      <c r="A2" s="29"/>
      <c r="C2" s="5" t="s">
        <v>91</v>
      </c>
      <c r="F2" t="s">
        <v>81</v>
      </c>
      <c r="G2" s="6"/>
    </row>
    <row r="3" spans="1:7">
      <c r="A3" s="29"/>
      <c r="C3" s="5" t="s">
        <v>1</v>
      </c>
      <c r="F3" t="s">
        <v>82</v>
      </c>
      <c r="G3" s="6"/>
    </row>
    <row r="4" spans="1:7" ht="19" customHeight="1" thickBot="1">
      <c r="A4" s="40"/>
      <c r="B4" s="41"/>
      <c r="C4" s="7" t="s">
        <v>2</v>
      </c>
      <c r="D4" s="41"/>
      <c r="E4" s="41"/>
      <c r="F4" s="41" t="s">
        <v>46</v>
      </c>
      <c r="G4" s="8"/>
    </row>
    <row r="5" spans="1:7">
      <c r="A5" s="30" t="s">
        <v>4</v>
      </c>
      <c r="B5" s="31"/>
      <c r="C5" s="32"/>
      <c r="D5" s="33"/>
      <c r="E5" s="44" t="s">
        <v>36</v>
      </c>
      <c r="F5" s="37"/>
      <c r="G5" s="38"/>
    </row>
    <row r="6" spans="1:7">
      <c r="A6" s="20" t="s">
        <v>5</v>
      </c>
      <c r="B6" s="18"/>
      <c r="C6" s="15" t="s">
        <v>6</v>
      </c>
      <c r="D6" s="24"/>
      <c r="E6" s="18" t="s">
        <v>37</v>
      </c>
      <c r="F6" s="10"/>
      <c r="G6" s="21" t="s">
        <v>38</v>
      </c>
    </row>
    <row r="7" spans="1:7">
      <c r="A7" s="138">
        <f>Data!A2</f>
        <v>0</v>
      </c>
      <c r="B7" s="139"/>
      <c r="C7" s="142">
        <f>Data!B2</f>
        <v>0</v>
      </c>
      <c r="D7" s="145"/>
      <c r="E7" s="13"/>
      <c r="F7" s="14"/>
      <c r="G7" s="22"/>
    </row>
    <row r="8" spans="1:7" ht="17" thickBot="1">
      <c r="A8" s="20" t="s">
        <v>8</v>
      </c>
      <c r="B8" s="18"/>
      <c r="C8" s="19"/>
      <c r="D8" s="35"/>
      <c r="E8" s="86" t="s">
        <v>39</v>
      </c>
      <c r="F8" s="42"/>
      <c r="G8" s="43" t="s">
        <v>40</v>
      </c>
    </row>
    <row r="9" spans="1:7" ht="17" thickBot="1">
      <c r="A9" s="132">
        <f>Data!D2</f>
        <v>0</v>
      </c>
      <c r="B9" s="133"/>
      <c r="C9" s="126"/>
      <c r="D9" s="127"/>
      <c r="F9" s="11"/>
      <c r="G9" s="74" t="s">
        <v>77</v>
      </c>
    </row>
    <row r="10" spans="1:7">
      <c r="A10" s="20" t="s">
        <v>9</v>
      </c>
      <c r="B10" s="16"/>
      <c r="C10" s="146" t="s">
        <v>7</v>
      </c>
      <c r="D10" s="147"/>
      <c r="E10" s="31" t="s">
        <v>42</v>
      </c>
      <c r="F10" s="32"/>
      <c r="G10" s="33"/>
    </row>
    <row r="11" spans="1:7" ht="17" thickBot="1">
      <c r="A11" s="118">
        <f>Data!E2</f>
        <v>0</v>
      </c>
      <c r="B11" s="143"/>
      <c r="C11" s="144">
        <f>Data!C2</f>
        <v>0</v>
      </c>
      <c r="D11" s="120"/>
      <c r="E11" s="16" t="s">
        <v>41</v>
      </c>
      <c r="F11" s="17" t="s">
        <v>25</v>
      </c>
      <c r="G11" s="21" t="s">
        <v>69</v>
      </c>
    </row>
    <row r="12" spans="1:7">
      <c r="A12" s="85" t="s">
        <v>10</v>
      </c>
      <c r="B12" s="66"/>
      <c r="C12" s="66"/>
      <c r="D12" s="66"/>
      <c r="E12" s="59">
        <f>Data!A6</f>
        <v>0</v>
      </c>
      <c r="F12" s="60">
        <f>Data!B6</f>
        <v>0</v>
      </c>
      <c r="G12" s="22">
        <f>F12-E12</f>
        <v>0</v>
      </c>
    </row>
    <row r="13" spans="1:7">
      <c r="A13" s="20" t="s">
        <v>11</v>
      </c>
      <c r="B13" s="18"/>
      <c r="C13" s="18"/>
      <c r="D13" s="18"/>
      <c r="E13" s="20" t="s">
        <v>43</v>
      </c>
      <c r="F13" s="9"/>
      <c r="G13" s="24"/>
    </row>
    <row r="14" spans="1:7">
      <c r="A14" s="132">
        <f>Data!A4</f>
        <v>0</v>
      </c>
      <c r="B14" s="133"/>
      <c r="C14" s="133"/>
      <c r="D14" s="133"/>
      <c r="E14" s="23"/>
      <c r="F14" s="13"/>
      <c r="G14" s="25"/>
    </row>
    <row r="15" spans="1:7">
      <c r="A15" s="20" t="s">
        <v>12</v>
      </c>
      <c r="B15" s="16"/>
      <c r="C15" s="15" t="s">
        <v>15</v>
      </c>
      <c r="D15" s="18"/>
      <c r="E15" s="20" t="s">
        <v>44</v>
      </c>
      <c r="F15" s="9"/>
      <c r="G15" s="24"/>
    </row>
    <row r="16" spans="1:7">
      <c r="A16" s="140">
        <f>Data!B4</f>
        <v>0</v>
      </c>
      <c r="B16" s="141"/>
      <c r="C16" s="142"/>
      <c r="D16" s="133"/>
      <c r="E16" s="125" t="s">
        <v>93</v>
      </c>
      <c r="F16" s="126"/>
      <c r="G16" s="127"/>
    </row>
    <row r="17" spans="1:7">
      <c r="A17" s="26" t="s">
        <v>13</v>
      </c>
      <c r="B17" s="17" t="s">
        <v>14</v>
      </c>
      <c r="C17" s="17" t="s">
        <v>16</v>
      </c>
      <c r="D17" s="15" t="s">
        <v>35</v>
      </c>
      <c r="E17" s="20" t="s">
        <v>45</v>
      </c>
      <c r="F17" s="9"/>
      <c r="G17" s="24"/>
    </row>
    <row r="18" spans="1:7" ht="17" thickBot="1">
      <c r="A18" s="27"/>
      <c r="B18" s="113"/>
      <c r="C18" s="113"/>
      <c r="D18" s="12"/>
      <c r="E18" s="118" t="s">
        <v>93</v>
      </c>
      <c r="F18" s="119"/>
      <c r="G18" s="120"/>
    </row>
    <row r="19" spans="1:7">
      <c r="A19" s="26" t="s">
        <v>17</v>
      </c>
      <c r="B19" s="17" t="s">
        <v>14</v>
      </c>
      <c r="C19" s="17" t="s">
        <v>16</v>
      </c>
      <c r="D19" s="21" t="s">
        <v>35</v>
      </c>
      <c r="E19" s="122" t="s">
        <v>79</v>
      </c>
      <c r="F19" s="123"/>
      <c r="G19" s="124"/>
    </row>
    <row r="20" spans="1:7">
      <c r="A20" s="27"/>
      <c r="B20" s="113"/>
      <c r="C20" s="113"/>
      <c r="D20" s="22"/>
      <c r="E20" s="125"/>
      <c r="F20" s="126"/>
      <c r="G20" s="127"/>
    </row>
    <row r="21" spans="1:7" ht="17" thickBot="1">
      <c r="A21" s="20" t="s">
        <v>18</v>
      </c>
      <c r="B21" s="9"/>
      <c r="C21" s="9"/>
      <c r="D21" s="24"/>
      <c r="E21" s="125"/>
      <c r="F21" s="126"/>
      <c r="G21" s="127"/>
    </row>
    <row r="22" spans="1:7">
      <c r="A22" s="132"/>
      <c r="B22" s="133"/>
      <c r="C22" s="133"/>
      <c r="D22" s="133"/>
      <c r="E22" s="36" t="s">
        <v>48</v>
      </c>
      <c r="F22" s="44"/>
      <c r="G22" s="109"/>
    </row>
    <row r="23" spans="1:7">
      <c r="A23" s="20" t="s">
        <v>19</v>
      </c>
      <c r="B23" s="9"/>
      <c r="C23" s="9"/>
      <c r="D23" s="9"/>
      <c r="E23" s="29" t="s">
        <v>47</v>
      </c>
      <c r="F23" s="111"/>
      <c r="G23" s="104" t="s">
        <v>92</v>
      </c>
    </row>
    <row r="24" spans="1:7">
      <c r="A24" s="132"/>
      <c r="B24" s="133"/>
      <c r="C24" s="133"/>
      <c r="D24" s="133"/>
      <c r="E24" s="29"/>
      <c r="F24">
        <f>Data!L6</f>
        <v>0</v>
      </c>
      <c r="G24" s="6">
        <f>Data!K6</f>
        <v>0</v>
      </c>
    </row>
    <row r="25" spans="1:7">
      <c r="A25" s="20" t="s">
        <v>21</v>
      </c>
      <c r="B25" s="10"/>
      <c r="C25" s="15" t="s">
        <v>20</v>
      </c>
      <c r="D25" s="9"/>
      <c r="E25" s="29"/>
      <c r="G25" s="6"/>
    </row>
    <row r="26" spans="1:7" ht="17" thickBot="1">
      <c r="A26" s="134">
        <f>Data!E17</f>
        <v>0</v>
      </c>
      <c r="B26" s="135"/>
      <c r="C26" s="136" t="s">
        <v>73</v>
      </c>
      <c r="D26" s="137"/>
      <c r="E26" s="29"/>
      <c r="G26" s="6"/>
    </row>
    <row r="27" spans="1:7">
      <c r="A27" s="36" t="s">
        <v>22</v>
      </c>
      <c r="B27" s="37"/>
      <c r="C27" s="37"/>
      <c r="D27" s="37"/>
      <c r="E27" s="29"/>
      <c r="G27" s="6"/>
    </row>
    <row r="28" spans="1:7">
      <c r="A28" s="28" t="s">
        <v>23</v>
      </c>
      <c r="B28" s="46" t="s">
        <v>26</v>
      </c>
      <c r="C28" s="46" t="s">
        <v>24</v>
      </c>
      <c r="D28" s="46" t="s">
        <v>25</v>
      </c>
      <c r="E28" s="29"/>
      <c r="G28" s="6"/>
    </row>
    <row r="29" spans="1:7">
      <c r="A29" s="29"/>
      <c r="B29" s="47"/>
      <c r="C29" s="47"/>
      <c r="D29" s="47"/>
      <c r="E29" s="29"/>
      <c r="G29" s="6"/>
    </row>
    <row r="30" spans="1:7">
      <c r="A30" s="28" t="s">
        <v>23</v>
      </c>
      <c r="B30" s="46" t="s">
        <v>26</v>
      </c>
      <c r="C30" s="46" t="s">
        <v>24</v>
      </c>
      <c r="D30" s="46" t="s">
        <v>25</v>
      </c>
      <c r="E30" s="29"/>
      <c r="G30" s="6"/>
    </row>
    <row r="31" spans="1:7" ht="17" thickBot="1">
      <c r="A31" s="40"/>
      <c r="B31" s="48"/>
      <c r="C31" s="48"/>
      <c r="D31" s="48"/>
      <c r="E31" s="62" t="s">
        <v>70</v>
      </c>
      <c r="F31" s="112"/>
      <c r="G31" s="61">
        <f>Data!K6</f>
        <v>0</v>
      </c>
    </row>
    <row r="32" spans="1:7">
      <c r="A32" s="34" t="s">
        <v>27</v>
      </c>
      <c r="B32" s="32"/>
      <c r="C32" s="32"/>
      <c r="D32" s="32"/>
      <c r="E32" s="36" t="s">
        <v>49</v>
      </c>
      <c r="F32" s="37"/>
      <c r="G32" s="38"/>
    </row>
    <row r="33" spans="1:7">
      <c r="A33" s="20" t="s">
        <v>28</v>
      </c>
      <c r="B33" s="18" t="s">
        <v>29</v>
      </c>
      <c r="C33" s="18"/>
      <c r="D33" s="9"/>
      <c r="E33" s="154" t="s">
        <v>70</v>
      </c>
      <c r="F33" s="155">
        <f>F31*1.21</f>
        <v>0</v>
      </c>
      <c r="G33" s="193"/>
    </row>
    <row r="34" spans="1:7" ht="17" thickBot="1">
      <c r="A34" s="128">
        <f>Data!F6</f>
        <v>0</v>
      </c>
      <c r="B34" s="129"/>
      <c r="C34" s="129"/>
      <c r="D34" s="129"/>
      <c r="E34" s="154"/>
      <c r="F34" s="155"/>
      <c r="G34" s="193"/>
    </row>
    <row r="35" spans="1:7">
      <c r="A35" s="128"/>
      <c r="B35" s="129"/>
      <c r="C35" s="129"/>
      <c r="D35" s="129"/>
      <c r="E35" s="36" t="s">
        <v>50</v>
      </c>
      <c r="F35" s="37"/>
      <c r="G35" s="38"/>
    </row>
    <row r="36" spans="1:7" ht="17" thickBot="1">
      <c r="A36" s="130"/>
      <c r="B36" s="131"/>
      <c r="C36" s="131"/>
      <c r="D36" s="131"/>
      <c r="E36" s="121"/>
      <c r="F36" s="119"/>
      <c r="G36" s="120"/>
    </row>
    <row r="37" spans="1:7">
      <c r="A37" s="55" t="s">
        <v>33</v>
      </c>
      <c r="B37" s="56" t="s">
        <v>30</v>
      </c>
      <c r="C37" s="19"/>
      <c r="E37" s="63" t="s">
        <v>51</v>
      </c>
      <c r="F37" s="64"/>
      <c r="G37" s="65"/>
    </row>
    <row r="38" spans="1:7" ht="17" customHeight="1" thickBot="1">
      <c r="A38" s="39"/>
      <c r="B38" s="115">
        <f>Data!I6</f>
        <v>0</v>
      </c>
      <c r="C38" s="116"/>
      <c r="D38" s="117"/>
      <c r="E38" s="156" t="s">
        <v>80</v>
      </c>
      <c r="F38" s="157"/>
      <c r="G38" s="158"/>
    </row>
    <row r="39" spans="1:7" ht="17" thickBot="1">
      <c r="A39" s="122" t="s">
        <v>84</v>
      </c>
      <c r="B39" s="168"/>
      <c r="C39" s="123"/>
      <c r="D39" s="124"/>
      <c r="E39" s="159"/>
      <c r="F39" s="160"/>
      <c r="G39" s="161"/>
    </row>
    <row r="40" spans="1:7" ht="17" thickBot="1">
      <c r="A40" s="20" t="s">
        <v>86</v>
      </c>
      <c r="B40" s="103" t="s">
        <v>95</v>
      </c>
      <c r="C40" s="169" t="s">
        <v>85</v>
      </c>
      <c r="D40" s="147"/>
      <c r="E40" s="159"/>
      <c r="F40" s="160"/>
      <c r="G40" s="161"/>
    </row>
    <row r="41" spans="1:7">
      <c r="A41" s="165" t="s">
        <v>83</v>
      </c>
      <c r="B41" s="166"/>
      <c r="C41" s="166"/>
      <c r="D41" s="167"/>
      <c r="E41" s="159"/>
      <c r="F41" s="160"/>
      <c r="G41" s="161"/>
    </row>
    <row r="42" spans="1:7">
      <c r="A42" s="26" t="s">
        <v>28</v>
      </c>
      <c r="B42" s="15" t="s">
        <v>31</v>
      </c>
      <c r="C42" s="17" t="s">
        <v>32</v>
      </c>
      <c r="D42" s="18" t="s">
        <v>34</v>
      </c>
      <c r="E42" s="159"/>
      <c r="F42" s="160"/>
      <c r="G42" s="161"/>
    </row>
    <row r="43" spans="1:7" ht="17" thickBot="1">
      <c r="A43" s="40"/>
      <c r="B43" s="41"/>
      <c r="C43" s="41"/>
      <c r="D43" s="41"/>
      <c r="E43" s="162"/>
      <c r="F43" s="163"/>
      <c r="G43" s="164"/>
    </row>
    <row r="44" spans="1:7" ht="16" customHeight="1">
      <c r="A44" s="181" t="s">
        <v>52</v>
      </c>
      <c r="B44" s="182"/>
      <c r="C44" s="182"/>
      <c r="D44" s="182"/>
      <c r="E44" s="182"/>
      <c r="F44" s="182"/>
      <c r="G44" s="183"/>
    </row>
    <row r="45" spans="1:7">
      <c r="A45" s="184"/>
      <c r="B45" s="185"/>
      <c r="C45" s="185"/>
      <c r="D45" s="185"/>
      <c r="E45" s="185"/>
      <c r="F45" s="185"/>
      <c r="G45" s="186"/>
    </row>
    <row r="46" spans="1:7" ht="17" thickBot="1">
      <c r="A46" s="187"/>
      <c r="B46" s="188"/>
      <c r="C46" s="188"/>
      <c r="D46" s="188"/>
      <c r="E46" s="188"/>
      <c r="F46" s="188"/>
      <c r="G46" s="189"/>
    </row>
    <row r="47" spans="1:7" ht="17" thickBot="1">
      <c r="C47" s="87" t="s">
        <v>72</v>
      </c>
      <c r="D47" s="180">
        <f>Data!A6</f>
        <v>0</v>
      </c>
      <c r="E47" s="180"/>
    </row>
    <row r="48" spans="1:7" ht="16" customHeight="1">
      <c r="A48" s="177" t="s">
        <v>94</v>
      </c>
      <c r="B48" s="178"/>
      <c r="C48" s="178"/>
      <c r="D48" s="178"/>
      <c r="E48" s="178"/>
      <c r="F48" s="178"/>
      <c r="G48" s="178"/>
    </row>
    <row r="49" spans="1:7">
      <c r="A49" s="179"/>
      <c r="B49" s="179"/>
      <c r="C49" s="179"/>
      <c r="D49" s="179"/>
      <c r="E49" s="179"/>
      <c r="F49" s="179"/>
      <c r="G49" s="179"/>
    </row>
    <row r="50" spans="1:7">
      <c r="A50" s="179"/>
      <c r="B50" s="179"/>
      <c r="C50" s="179"/>
      <c r="D50" s="179"/>
      <c r="E50" s="179"/>
      <c r="F50" s="179"/>
      <c r="G50" s="179"/>
    </row>
    <row r="98" spans="1:7" ht="16" customHeight="1">
      <c r="A98" s="49"/>
      <c r="B98" s="49"/>
      <c r="C98" s="88" t="s">
        <v>72</v>
      </c>
      <c r="D98" s="176">
        <f>Data!A6</f>
        <v>0</v>
      </c>
      <c r="E98" s="176"/>
      <c r="F98" s="49"/>
      <c r="G98" s="49"/>
    </row>
    <row r="99" spans="1:7" ht="16" customHeight="1">
      <c r="A99" s="49"/>
      <c r="B99" s="49"/>
      <c r="C99" s="49"/>
      <c r="D99" s="49"/>
      <c r="E99" s="49"/>
      <c r="F99" s="49"/>
      <c r="G99" s="49"/>
    </row>
    <row r="100" spans="1:7" s="49" customFormat="1" ht="24">
      <c r="A100" s="49" t="s">
        <v>63</v>
      </c>
      <c r="E100" s="114">
        <f>G1</f>
        <v>0</v>
      </c>
    </row>
    <row r="101" spans="1:7">
      <c r="A101" s="67" t="s">
        <v>53</v>
      </c>
      <c r="B101" s="9"/>
      <c r="C101" s="10"/>
      <c r="D101" s="67" t="s">
        <v>64</v>
      </c>
      <c r="E101" s="9"/>
      <c r="F101" s="9"/>
      <c r="G101" s="10"/>
    </row>
    <row r="102" spans="1:7">
      <c r="A102" s="190">
        <f>A7</f>
        <v>0</v>
      </c>
      <c r="B102" s="191"/>
      <c r="C102" s="192"/>
      <c r="D102" s="170">
        <f>A34</f>
        <v>0</v>
      </c>
      <c r="E102" s="171"/>
      <c r="F102" s="171"/>
      <c r="G102" s="172"/>
    </row>
    <row r="103" spans="1:7">
      <c r="A103" s="142">
        <f>A14</f>
        <v>0</v>
      </c>
      <c r="B103" s="133"/>
      <c r="C103" s="141"/>
      <c r="D103" s="173"/>
      <c r="E103" s="174"/>
      <c r="F103" s="174"/>
      <c r="G103" s="175"/>
    </row>
    <row r="104" spans="1:7">
      <c r="A104" s="67" t="s">
        <v>54</v>
      </c>
      <c r="B104" s="102" t="str">
        <f>C26</f>
        <v>-</v>
      </c>
      <c r="C104" s="10"/>
      <c r="D104" s="67" t="s">
        <v>55</v>
      </c>
      <c r="E104" s="9"/>
      <c r="F104" s="9"/>
      <c r="G104" s="10"/>
    </row>
    <row r="105" spans="1:7">
      <c r="A105" s="142">
        <f>Data!E2</f>
        <v>0</v>
      </c>
      <c r="B105" s="133"/>
      <c r="C105" s="141"/>
      <c r="D105" s="142"/>
      <c r="E105" s="133"/>
      <c r="F105" s="133"/>
      <c r="G105" s="141"/>
    </row>
    <row r="106" spans="1:7">
      <c r="A106" s="67" t="s">
        <v>56</v>
      </c>
      <c r="B106" s="69" t="s">
        <v>71</v>
      </c>
      <c r="C106" s="10"/>
      <c r="D106" s="67" t="s">
        <v>57</v>
      </c>
      <c r="E106" s="148">
        <f>A38</f>
        <v>0</v>
      </c>
      <c r="F106" s="70" t="s">
        <v>58</v>
      </c>
      <c r="G106" s="150" t="s">
        <v>78</v>
      </c>
    </row>
    <row r="107" spans="1:7">
      <c r="A107" s="12"/>
      <c r="B107" s="73">
        <f>Data!A6</f>
        <v>0</v>
      </c>
      <c r="C107" s="14"/>
      <c r="D107" s="12"/>
      <c r="E107" s="149"/>
      <c r="F107" s="71"/>
      <c r="G107" s="151"/>
    </row>
    <row r="121" spans="1:7" ht="17" thickBot="1"/>
    <row r="122" spans="1:7">
      <c r="A122" s="1" t="s">
        <v>59</v>
      </c>
      <c r="B122" s="2"/>
      <c r="C122" s="2"/>
      <c r="D122" s="2"/>
      <c r="E122" s="2"/>
      <c r="F122" s="2"/>
      <c r="G122" s="4"/>
    </row>
    <row r="123" spans="1:7">
      <c r="A123" s="29"/>
      <c r="G123" s="6"/>
    </row>
    <row r="124" spans="1:7" ht="17" thickBot="1">
      <c r="A124" s="40"/>
      <c r="B124" s="41"/>
      <c r="C124" s="41"/>
      <c r="D124" s="41"/>
      <c r="E124" s="41"/>
      <c r="F124" s="41"/>
      <c r="G124" s="8"/>
    </row>
    <row r="126" spans="1:7">
      <c r="A126" t="s">
        <v>61</v>
      </c>
      <c r="F126" s="47" t="s">
        <v>62</v>
      </c>
      <c r="G126" s="51" t="s">
        <v>60</v>
      </c>
    </row>
    <row r="127" spans="1:7">
      <c r="A127" s="50"/>
      <c r="B127" s="50"/>
      <c r="C127" s="50"/>
      <c r="D127" s="50"/>
      <c r="E127" s="50"/>
      <c r="F127" s="50"/>
      <c r="G127" s="50"/>
    </row>
    <row r="128" spans="1:7">
      <c r="A128" s="67" t="s">
        <v>45</v>
      </c>
      <c r="B128" s="69" t="s">
        <v>71</v>
      </c>
      <c r="C128" s="9"/>
      <c r="D128" s="68" t="s">
        <v>57</v>
      </c>
      <c r="E128" s="152"/>
      <c r="F128" s="69" t="s">
        <v>58</v>
      </c>
      <c r="G128" s="153"/>
    </row>
    <row r="129" spans="1:7">
      <c r="A129" s="12"/>
      <c r="B129" s="13"/>
      <c r="C129" s="13"/>
      <c r="D129" s="13"/>
      <c r="E129" s="133"/>
      <c r="F129" s="13"/>
      <c r="G129" s="141"/>
    </row>
    <row r="143" spans="1:7" ht="17" thickBot="1"/>
    <row r="144" spans="1:7">
      <c r="A144" s="1" t="s">
        <v>59</v>
      </c>
      <c r="B144" s="2"/>
      <c r="C144" s="2"/>
      <c r="D144" s="2"/>
      <c r="E144" s="2"/>
      <c r="F144" s="2"/>
      <c r="G144" s="4"/>
    </row>
    <row r="145" spans="1:7">
      <c r="A145" s="29"/>
      <c r="G145" s="6"/>
    </row>
    <row r="146" spans="1:7" ht="17" thickBot="1">
      <c r="A146" s="40"/>
      <c r="B146" s="41"/>
      <c r="C146" s="41"/>
      <c r="D146" s="41"/>
      <c r="E146" s="41"/>
      <c r="F146" s="41"/>
      <c r="G146" s="8"/>
    </row>
  </sheetData>
  <mergeCells count="40">
    <mergeCell ref="A105:C105"/>
    <mergeCell ref="A41:D41"/>
    <mergeCell ref="A39:D39"/>
    <mergeCell ref="C40:D40"/>
    <mergeCell ref="D105:G105"/>
    <mergeCell ref="D102:G103"/>
    <mergeCell ref="D98:E98"/>
    <mergeCell ref="A48:G50"/>
    <mergeCell ref="D47:E47"/>
    <mergeCell ref="A44:G46"/>
    <mergeCell ref="A102:C102"/>
    <mergeCell ref="A103:C103"/>
    <mergeCell ref="E106:E107"/>
    <mergeCell ref="G106:G107"/>
    <mergeCell ref="E128:E129"/>
    <mergeCell ref="G128:G129"/>
    <mergeCell ref="E33:E34"/>
    <mergeCell ref="F33:F34"/>
    <mergeCell ref="G33:G34"/>
    <mergeCell ref="E38:G43"/>
    <mergeCell ref="A9:D9"/>
    <mergeCell ref="A7:B7"/>
    <mergeCell ref="A14:D14"/>
    <mergeCell ref="A16:B16"/>
    <mergeCell ref="C16:D16"/>
    <mergeCell ref="A11:B11"/>
    <mergeCell ref="C11:D11"/>
    <mergeCell ref="C7:D7"/>
    <mergeCell ref="C10:D10"/>
    <mergeCell ref="B38:D38"/>
    <mergeCell ref="E18:G18"/>
    <mergeCell ref="E36:G36"/>
    <mergeCell ref="E19:G19"/>
    <mergeCell ref="E16:G16"/>
    <mergeCell ref="A34:D36"/>
    <mergeCell ref="A22:D22"/>
    <mergeCell ref="A24:D24"/>
    <mergeCell ref="A26:B26"/>
    <mergeCell ref="C26:D26"/>
    <mergeCell ref="E20:G21"/>
  </mergeCells>
  <printOptions horizontalCentered="1" verticalCentered="1"/>
  <pageMargins left="0.7" right="0.7" top="0.75" bottom="0.75" header="0.3" footer="0.3"/>
  <pageSetup paperSize="9" scale="95" fitToHeight="3" orientation="portrait" horizontalDpi="0" verticalDpi="0" copies="2"/>
  <headerFooter>
    <oddFooter>&amp;L&amp;"Calibri (Základní text),Obyčejné"&amp;K000000
….............................
PRONAJÍMATEL&amp;R
….............................
NÁJEMCE</oddFooter>
  </headerFooter>
  <rowBreaks count="2" manualBreakCount="2">
    <brk id="47" max="6" man="1"/>
    <brk id="98" max="6" man="1"/>
  </rowBreak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0E12-ACF7-FC43-A566-DC5C372A4E14}">
  <dimension ref="A1:L6"/>
  <sheetViews>
    <sheetView workbookViewId="0">
      <selection activeCell="B4" sqref="B4"/>
    </sheetView>
  </sheetViews>
  <sheetFormatPr baseColWidth="10" defaultColWidth="8.83203125" defaultRowHeight="16"/>
  <cols>
    <col min="1" max="1" width="41.83203125" customWidth="1"/>
    <col min="2" max="2" width="28.83203125" customWidth="1"/>
    <col min="3" max="3" width="25.83203125" customWidth="1"/>
    <col min="4" max="4" width="32.5" customWidth="1"/>
    <col min="5" max="5" width="27.83203125" customWidth="1"/>
    <col min="6" max="6" width="57.33203125" bestFit="1" customWidth="1"/>
    <col min="7" max="8" width="9" bestFit="1" customWidth="1"/>
    <col min="9" max="9" width="9" customWidth="1"/>
    <col min="10" max="10" width="9" bestFit="1" customWidth="1"/>
  </cols>
  <sheetData>
    <row r="1" spans="1:12" ht="25" thickBot="1">
      <c r="A1" s="83" t="s">
        <v>67</v>
      </c>
      <c r="B1" s="82" t="s">
        <v>6</v>
      </c>
      <c r="C1" s="82" t="s">
        <v>7</v>
      </c>
      <c r="D1" s="82" t="s">
        <v>68</v>
      </c>
      <c r="E1" s="82" t="s">
        <v>9</v>
      </c>
    </row>
    <row r="2" spans="1:12" ht="17" thickBot="1">
      <c r="A2" s="75"/>
      <c r="B2" s="110"/>
      <c r="C2" s="110"/>
      <c r="D2" s="84"/>
      <c r="E2" s="100"/>
    </row>
    <row r="3" spans="1:12" ht="24">
      <c r="A3" s="81" t="s">
        <v>76</v>
      </c>
      <c r="B3" s="80" t="s">
        <v>12</v>
      </c>
      <c r="C3" s="76"/>
      <c r="D3" s="76"/>
      <c r="E3" s="77"/>
    </row>
    <row r="4" spans="1:12" ht="17" thickBot="1">
      <c r="A4" s="92"/>
      <c r="B4" s="101"/>
      <c r="C4" s="78"/>
      <c r="D4" s="78"/>
      <c r="E4" s="79"/>
    </row>
    <row r="5" spans="1:12" s="98" customFormat="1" ht="69" thickBot="1">
      <c r="A5" s="96" t="s">
        <v>65</v>
      </c>
      <c r="B5" s="96" t="s">
        <v>66</v>
      </c>
      <c r="C5" s="93" t="s">
        <v>74</v>
      </c>
      <c r="D5" s="93"/>
      <c r="E5" s="93"/>
      <c r="F5" s="97" t="s">
        <v>75</v>
      </c>
      <c r="G5" s="97"/>
      <c r="H5" s="94"/>
      <c r="I5" s="95" t="s">
        <v>89</v>
      </c>
      <c r="J5" s="95" t="s">
        <v>88</v>
      </c>
      <c r="K5" s="105" t="s">
        <v>87</v>
      </c>
      <c r="L5" s="105" t="s">
        <v>90</v>
      </c>
    </row>
    <row r="6" spans="1:12" s="89" customFormat="1" ht="13" thickBot="1">
      <c r="A6" s="91"/>
      <c r="B6" s="91"/>
      <c r="C6" s="90"/>
      <c r="D6" s="54"/>
      <c r="E6" s="72"/>
      <c r="F6" s="99"/>
      <c r="G6" s="52"/>
      <c r="H6" s="53"/>
      <c r="I6" s="90"/>
      <c r="J6" s="106"/>
      <c r="K6" s="107"/>
      <c r="L6" s="108"/>
    </row>
  </sheetData>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Listy</vt:lpstr>
      </vt:variant>
      <vt:variant>
        <vt:i4>2</vt:i4>
      </vt:variant>
      <vt:variant>
        <vt:lpstr>Pojmenované oblasti</vt:lpstr>
      </vt:variant>
      <vt:variant>
        <vt:i4>1</vt:i4>
      </vt:variant>
    </vt:vector>
  </HeadingPairs>
  <TitlesOfParts>
    <vt:vector size="3" baseType="lpstr">
      <vt:lpstr>Vzor</vt:lpstr>
      <vt:lpstr>Data</vt:lpstr>
      <vt:lpstr>Vzor!Oblast_tisku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RX Auto</dc:creator>
  <cp:lastModifiedBy>RX Auto</cp:lastModifiedBy>
  <cp:lastPrinted>2023-05-15T09:42:16Z</cp:lastPrinted>
  <dcterms:created xsi:type="dcterms:W3CDTF">2020-11-24T21:05:10Z</dcterms:created>
  <dcterms:modified xsi:type="dcterms:W3CDTF">2026-06-30T16:50:36Z</dcterms:modified>
</cp:coreProperties>
</file>